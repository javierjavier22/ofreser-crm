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freser-bot\"/>
    </mc:Choice>
  </mc:AlternateContent>
  <xr:revisionPtr revIDLastSave="0" documentId="13_ncr:1_{40099A0E-D2D3-420D-A426-7D8EF1D1B32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atriz Testing" sheetId="1" r:id="rId1"/>
    <sheet name="Resumen" sheetId="2" r:id="rId2"/>
    <sheet name="Guia de uso" sheetId="3" r:id="rId3"/>
  </sheets>
  <definedNames>
    <definedName name="_xlnm._FilterDatabase" localSheetId="0" hidden="1">'Matriz Testing'!$A$1:$L$30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6" i="2" l="1"/>
</calcChain>
</file>

<file path=xl/sharedStrings.xml><?xml version="1.0" encoding="utf-8"?>
<sst xmlns="http://schemas.openxmlformats.org/spreadsheetml/2006/main" count="342" uniqueCount="222">
  <si>
    <t>ID</t>
  </si>
  <si>
    <t>Bloque</t>
  </si>
  <si>
    <t>Módulo</t>
  </si>
  <si>
    <t>Caso de prueba</t>
  </si>
  <si>
    <t>Descripción</t>
  </si>
  <si>
    <t>Precondiciones</t>
  </si>
  <si>
    <t>Pasos</t>
  </si>
  <si>
    <t>Resultado esperado</t>
  </si>
  <si>
    <t>Resultado real</t>
  </si>
  <si>
    <t>Estado</t>
  </si>
  <si>
    <t>Prioridad</t>
  </si>
  <si>
    <t>Notas</t>
  </si>
  <si>
    <t>A1</t>
  </si>
  <si>
    <t>CRM</t>
  </si>
  <si>
    <t>Login y seguridad</t>
  </si>
  <si>
    <t>Login correcto</t>
  </si>
  <si>
    <t>Validar acceso al CRM con credenciales válidas.</t>
  </si>
  <si>
    <t>Servidor levantado. index_crm.html accesible. Credenciales válidas configuradas en .env.</t>
  </si>
  <si>
    <t>1) Abrir index_crm.html  2) Ingresar usuario válido  3) Ingresar contraseña válida  4) Confirmar ingreso</t>
  </si>
  <si>
    <t>Se muestra el panel del CRM, se cargan leads y no aparece error 401.</t>
  </si>
  <si>
    <t>A2</t>
  </si>
  <si>
    <t>Login inválido</t>
  </si>
  <si>
    <t>Validar rechazo de acceso con credenciales incorrectas.</t>
  </si>
  <si>
    <t>Pantalla de login visible.</t>
  </si>
  <si>
    <t>1) Abrir index_crm.html  2) Ingresar usuario y/o contraseña incorrectos  3) Intentar entrar</t>
  </si>
  <si>
    <t>No ingresa al CRM y se muestra error visible de credenciales inválidas.</t>
  </si>
  <si>
    <t>A3</t>
  </si>
  <si>
    <t>Logout</t>
  </si>
  <si>
    <t>Validar cierre de sesión del CRM.</t>
  </si>
  <si>
    <t>Usuario logueado en el CRM.</t>
  </si>
  <si>
    <t>1) Click en 'Salir'  2) Confirmar recarga o vuelta a login  3) Refrescar página</t>
  </si>
  <si>
    <t>Se vuelve a la pantalla de login y no queda el panel accesible sin volver a autenticarse.</t>
  </si>
  <si>
    <t>A4</t>
  </si>
  <si>
    <t>Endpoint protegido</t>
  </si>
  <si>
    <t>Validar protección de endpoint directo del CRM.</t>
  </si>
  <si>
    <t>Servidor levantado.</t>
  </si>
  <si>
    <t>1) Abrir http://localhost:3000/leads directamente en navegador sin token  2) Observar respuesta</t>
  </si>
  <si>
    <t>Devuelve 401 Unauthorized y no expone datos del CRM.</t>
  </si>
  <si>
    <t>B1</t>
  </si>
  <si>
    <t>WEBCHAT</t>
  </si>
  <si>
    <t>Flujos bot</t>
  </si>
  <si>
    <t>Inicio de conversación</t>
  </si>
  <si>
    <t>Validar inicio básico del flujo por webchat.</t>
  </si>
  <si>
    <t>index_chat.html disponible. Servidor levantado.</t>
  </si>
  <si>
    <t>1) Abrir webchat  2) Enviar mensaje inicial  3) Esperar respuesta del bot</t>
  </si>
  <si>
    <t>El bot responde correctamente y la sesión se crea o reutiliza sin error.</t>
  </si>
  <si>
    <t>B2</t>
  </si>
  <si>
    <t>Flujo servicios</t>
  </si>
  <si>
    <t>Validar flujo completo de servicios/fumigación.</t>
  </si>
  <si>
    <t>Webchat operativo.</t>
  </si>
  <si>
    <t>1) Iniciar chat  2) Elegir servicios/fumigación  3) Completar todos los datos solicitados  4) Finalizar flujo</t>
  </si>
  <si>
    <t>Se crea lead completo, aparece en CRM con categoría correcta y conversación visible.</t>
  </si>
  <si>
    <t>B3</t>
  </si>
  <si>
    <t>Flujo certificados</t>
  </si>
  <si>
    <t>Validar flujo completo de certificados.</t>
  </si>
  <si>
    <t>1) Iniciar chat  2) Elegir certificados  3) Completar datos del local  4) Finalizar flujo</t>
  </si>
  <si>
    <t>Se crea lead completo con datos de local, categoría correcta y conversación visible.</t>
  </si>
  <si>
    <t>B4</t>
  </si>
  <si>
    <t>Flujo productos</t>
  </si>
  <si>
    <t>Validar flujo completo de productos.</t>
  </si>
  <si>
    <t>1) Iniciar chat  2) Elegir productos  3) Completar consulta  4) Finalizar flujo</t>
  </si>
  <si>
    <t>Se crea lead completo en categoría productos y no se generan duplicados.</t>
  </si>
  <si>
    <t>B5</t>
  </si>
  <si>
    <t>Flujo administración</t>
  </si>
  <si>
    <t>Validar flujo completo de consultas administrativas.</t>
  </si>
  <si>
    <t>1) Iniciar chat  2) Elegir administrativas  3) Completar motivo/consulta  4) Finalizar flujo</t>
  </si>
  <si>
    <t>Se crea lead correcto y el motivo administrativo queda visible si aplica.</t>
  </si>
  <si>
    <t>C1</t>
  </si>
  <si>
    <t>WHATSAPP</t>
  </si>
  <si>
    <t>Mensaje inicial</t>
  </si>
  <si>
    <t>Validar inicio básico por WhatsApp.</t>
  </si>
  <si>
    <t>Webhook activo. Meta disponible. Número de prueba operativo.</t>
  </si>
  <si>
    <t>1) Enviar 'hola' por WhatsApp  2) Esperar respuesta</t>
  </si>
  <si>
    <t>El bot responde y se registra sesión WhatsApp.</t>
  </si>
  <si>
    <t>C2</t>
  </si>
  <si>
    <t>Más opciones</t>
  </si>
  <si>
    <t>Validar submenú de más opciones.</t>
  </si>
  <si>
    <t>WhatsApp operativo.</t>
  </si>
  <si>
    <t>1) Iniciar conversación  2) Elegir o escribir 'Más opciones'</t>
  </si>
  <si>
    <t>Se muestra el submenú correcto y no se rompe la sesión.</t>
  </si>
  <si>
    <t>C3</t>
  </si>
  <si>
    <t>Flujo completo</t>
  </si>
  <si>
    <t>Validar flujo completo por WhatsApp.</t>
  </si>
  <si>
    <t>1) Iniciar conversación  2) Completar un flujo normal hasta el final</t>
  </si>
  <si>
    <t>Se crea lead correcto, asociado a WhatsApp y visible en CRM.</t>
  </si>
  <si>
    <t>D1</t>
  </si>
  <si>
    <t>ASESOR</t>
  </si>
  <si>
    <t>Lead parcial</t>
  </si>
  <si>
    <t>Asesor desde menú</t>
  </si>
  <si>
    <t>Validar pedido de asesor desde Más opciones.</t>
  </si>
  <si>
    <t>WhatsApp o webchat operativo.</t>
  </si>
  <si>
    <t>1) Iniciar conversación  2) Ir a Más opciones  3) Elegir Asesor</t>
  </si>
  <si>
    <t>Se crea o actualiza lead parcial, aparece en seguimiento y no se duplica.</t>
  </si>
  <si>
    <t>D2</t>
  </si>
  <si>
    <t>Asesor dentro de flujo</t>
  </si>
  <si>
    <t>Validar pedido de asesor a mitad de una conversación.</t>
  </si>
  <si>
    <t>Conversación iniciada y en progreso.</t>
  </si>
  <si>
    <t>1) Iniciar un flujo  2) Antes de terminar, pedir asesor</t>
  </si>
  <si>
    <t>Se guarda lead parcial o se actualiza el existente sin crear duplicado.</t>
  </si>
  <si>
    <t>E1</t>
  </si>
  <si>
    <t>DUPLICADOS</t>
  </si>
  <si>
    <t>Regla por sesión</t>
  </si>
  <si>
    <t>Múltiples mensajes misma sesión</t>
  </si>
  <si>
    <t>Validar que una sesión no cree varios leads.</t>
  </si>
  <si>
    <t>Ya existe un lead en la sesión.</t>
  </si>
  <si>
    <t>1) Reutilizar la misma sesión  2) Enviar varios mensajes  3) Revisar CRM</t>
  </si>
  <si>
    <t>Sigue existiendo un solo lead para esa sesión; solo cambia la actividad.</t>
  </si>
  <si>
    <t>E2</t>
  </si>
  <si>
    <t>Parcial a completo</t>
  </si>
  <si>
    <t>Validar actualización del mismo lead al pasar de parcial a completo.</t>
  </si>
  <si>
    <t>Existe lead parcial previo en la sesión.</t>
  </si>
  <si>
    <t>1) Crear lead parcial pidiendo asesor  2) Continuar la misma sesión  3) Completar más datos</t>
  </si>
  <si>
    <t>Se actualiza el mismo lead y no aparece una card nueva duplicada.</t>
  </si>
  <si>
    <t>F1</t>
  </si>
  <si>
    <t>Operación</t>
  </si>
  <si>
    <t>Abrir detalle</t>
  </si>
  <si>
    <t>Validar apertura del modal de detalle.</t>
  </si>
  <si>
    <t>Existe al menos un lead en el tablero.</t>
  </si>
  <si>
    <t>1) Abrir CRM  2) Click en 'Ver detalle + conversación'</t>
  </si>
  <si>
    <t>Se abre el modal con datos del lead y conversación, sin error 500.</t>
  </si>
  <si>
    <t>F2</t>
  </si>
  <si>
    <t>Guardar nota interna</t>
  </si>
  <si>
    <t>Validar guardado de nota interna.</t>
  </si>
  <si>
    <t>Lead existente. Modal de detalle abierto.</t>
  </si>
  <si>
    <t>1) Escribir una nota  2) Guardarla  3) Recargar CRM o reabrir lead</t>
  </si>
  <si>
    <t>La nota persiste correctamente.</t>
  </si>
  <si>
    <t>F3</t>
  </si>
  <si>
    <t>Cambiar estado comercial</t>
  </si>
  <si>
    <t>Validar cambio de estado del lead.</t>
  </si>
  <si>
    <t>Lead existente.</t>
  </si>
  <si>
    <t>1) Mover lead a nuevo/calificado/seguimiento/cerrado  2) Recargar CRM</t>
  </si>
  <si>
    <t>La card cambia de columna y el estado persiste.</t>
  </si>
  <si>
    <t>F4</t>
  </si>
  <si>
    <t>Orden por actividad reciente</t>
  </si>
  <si>
    <t>Validar orden por último movimiento y no solo por fecha de creación.</t>
  </si>
  <si>
    <t>Existe lead viejo y se puede generar nueva actividad.</t>
  </si>
  <si>
    <t>1) Tomar un lead anterior  2) Generar actividad nueva  3) Observar posición en columna</t>
  </si>
  <si>
    <t>El lead sube por actividad reciente.</t>
  </si>
  <si>
    <t>G1</t>
  </si>
  <si>
    <t>TAKEOVER</t>
  </si>
  <si>
    <t>Modo humano</t>
  </si>
  <si>
    <t>Tomar como humano</t>
  </si>
  <si>
    <t>Validar takeover desde el CRM.</t>
  </si>
  <si>
    <t>Lead existente con conversación activa.</t>
  </si>
  <si>
    <t>1) Abrir lead  2) Click en 'Tomar como humano'</t>
  </si>
  <si>
    <t>La sesión queda en controlMode=human, se muestra badge HUMANO y se habilita composer humano.</t>
  </si>
  <si>
    <t>G2</t>
  </si>
  <si>
    <t>Enviar mensaje humano</t>
  </si>
  <si>
    <t>Validar envío manual desde CRM en modo humano.</t>
  </si>
  <si>
    <t>Sesión en modo humano y canal WhatsApp.</t>
  </si>
  <si>
    <t>1) Abrir lead  2) Escribir mensaje en composer  3) Enviar</t>
  </si>
  <si>
    <t>El mensaje llega al cliente y queda registrado como mensaje humano en CRM.</t>
  </si>
  <si>
    <t>G3</t>
  </si>
  <si>
    <t>Usuario escribe en modo humano</t>
  </si>
  <si>
    <t>Validar que el bot no interfiera cuando la sesión está en humano.</t>
  </si>
  <si>
    <t>Sesión en modo humano.</t>
  </si>
  <si>
    <t>1) Cliente vuelve a escribir  2) Revisar respuesta del sistema</t>
  </si>
  <si>
    <t>El bot no responde automáticamente. El mensaje queda registrado. Pendiente futuro: aviso único opcional.</t>
  </si>
  <si>
    <t>H1</t>
  </si>
  <si>
    <t>BOT</t>
  </si>
  <si>
    <t>Control sesión</t>
  </si>
  <si>
    <t>Devolver al bot</t>
  </si>
  <si>
    <t>Validar retorno de control al bot desde CRM.</t>
  </si>
  <si>
    <t>1) Click en 'Devolver al bot'  2) Cliente vuelve a escribir</t>
  </si>
  <si>
    <t>La sesión vuelve a bot y el sistema responde de nuevo automáticamente.</t>
  </si>
  <si>
    <t>I1</t>
  </si>
  <si>
    <t>CIERRE</t>
  </si>
  <si>
    <t>Cerrar conversación</t>
  </si>
  <si>
    <t>Validar cierre manual de conversación.</t>
  </si>
  <si>
    <t>1) Click en 'Cerrar conversación'  2) Revisar badge/estado</t>
  </si>
  <si>
    <t>La sesión queda en CLOSED y se muestra visualmente en CRM.</t>
  </si>
  <si>
    <t>I2</t>
  </si>
  <si>
    <t>Reapertura automática</t>
  </si>
  <si>
    <t>Validar reapertura automática cuando el cliente escribe luego del cierre.</t>
  </si>
  <si>
    <t>Sesión previamente cerrada.</t>
  </si>
  <si>
    <t>1) Cerrar conversación  2) Cliente vuelve a escribir por el mismo canal  3) Revisar respuesta</t>
  </si>
  <si>
    <t>La sesión se reabre automáticamente, vuelve al bot y el mensaje nuevo se procesa.</t>
  </si>
  <si>
    <t>J1</t>
  </si>
  <si>
    <t>PERSISTENCIA</t>
  </si>
  <si>
    <t>Estabilidad</t>
  </si>
  <si>
    <t>Reinicio servidor</t>
  </si>
  <si>
    <t>Validar persistencia tras reiniciar backend.</t>
  </si>
  <si>
    <t>Existen leads, mensajes y configuración funcional.</t>
  </si>
  <si>
    <t>1) Reiniciar servidor  2) Reabrir CRM  3) Verificar datos</t>
  </si>
  <si>
    <t>Leads, mensajes y funcionamiento general siguen disponibles.</t>
  </si>
  <si>
    <t>J2</t>
  </si>
  <si>
    <t>Backups</t>
  </si>
  <si>
    <t>Backup manual</t>
  </si>
  <si>
    <t>Validar generación de backup manual.</t>
  </si>
  <si>
    <t>Scripts de backup configurados.</t>
  </si>
  <si>
    <t>1) Ejecutar backup  2) Verificar archivo generado</t>
  </si>
  <si>
    <t>Se genera archivo de backup sin error.</t>
  </si>
  <si>
    <t>J3</t>
  </si>
  <si>
    <t>Restore</t>
  </si>
  <si>
    <t>Validar restauración desde backup.</t>
  </si>
  <si>
    <t>Existe backup válido.</t>
  </si>
  <si>
    <t>1) Ejecutar restore  2) Levantar sistema  3) Verificar datos</t>
  </si>
  <si>
    <t>Los datos quedan recuperados correctamente.</t>
  </si>
  <si>
    <t>Métrica</t>
  </si>
  <si>
    <t>Valor</t>
  </si>
  <si>
    <t>Total de pruebas</t>
  </si>
  <si>
    <t>Pruebas OK</t>
  </si>
  <si>
    <t>Pruebas FALLA</t>
  </si>
  <si>
    <t>Pruebas OBS</t>
  </si>
  <si>
    <t>% avance</t>
  </si>
  <si>
    <t>Guía de uso</t>
  </si>
  <si>
    <t>Cómo usar</t>
  </si>
  <si>
    <t>Cada fila es una prueba concreta del sistema.</t>
  </si>
  <si>
    <t>Usar J: OK, FALLA u OBS.</t>
  </si>
  <si>
    <t>Usar K: Alta, Media o Baja.</t>
  </si>
  <si>
    <t>Describir qué pasó realmente al ejecutar la prueba.</t>
  </si>
  <si>
    <t>Registrar errores, dudas o evidencia útil.</t>
  </si>
  <si>
    <t>Consejo</t>
  </si>
  <si>
    <t>Ejecutar primero seguridad/CRM, luego webchat, luego WhatsApp, luego takeover y persistencia.</t>
  </si>
  <si>
    <t>OK</t>
  </si>
  <si>
    <t>Media</t>
  </si>
  <si>
    <t xml:space="preserve">No ingresa al CRM y se muestra error visible de credenciales inválidas. </t>
  </si>
  <si>
    <t>Seria bueno en otra etapa un feature de olvidar contraseña y resetearla con email</t>
  </si>
  <si>
    <t>Devuelve {"error":"Unauthorized"} y no expone datos del CRM</t>
  </si>
  <si>
    <t>Alta</t>
  </si>
  <si>
    <t>elimine la sesion de mi numero, reinicie server e hice el flujo de asesor pero no logro identificar en el CRM este nuevo chat con la hora actual</t>
  </si>
  <si>
    <t>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</si>
</sst>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topLeftCell="C1" workbookViewId="0">
      <pane ySplit="1" topLeftCell="A20" activePane="bottomLeft" state="frozen"/>
      <selection pane="bottomLeft" activeCell="J29" sqref="J29:K30"/>
    </sheetView>
  </sheetViews>
  <sheetFormatPr defaultRowHeight="15" x14ac:dyDescent="0.25"/>
  <cols>
    <col min="1" max="1" width="8" customWidth="1"/>
    <col min="2" max="2" width="14" customWidth="1"/>
    <col min="3" max="3" width="18" customWidth="1"/>
    <col min="4" max="4" width="28" customWidth="1"/>
    <col min="5" max="5" width="34" customWidth="1"/>
    <col min="6" max="6" width="32" customWidth="1"/>
    <col min="7" max="7" width="48" customWidth="1"/>
    <col min="8" max="9" width="34" customWidth="1"/>
    <col min="10" max="11" width="12" customWidth="1"/>
    <col min="12" max="12" width="2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214</v>
      </c>
      <c r="K2" s="2" t="s">
        <v>215</v>
      </c>
      <c r="L2" s="2"/>
    </row>
    <row r="3" spans="1:12" ht="60" x14ac:dyDescent="0.25">
      <c r="A3" s="3" t="s">
        <v>20</v>
      </c>
      <c r="B3" s="3" t="s">
        <v>13</v>
      </c>
      <c r="C3" s="3" t="s">
        <v>14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216</v>
      </c>
      <c r="J3" s="3" t="s">
        <v>214</v>
      </c>
      <c r="K3" s="3" t="s">
        <v>215</v>
      </c>
      <c r="L3" s="3" t="s">
        <v>217</v>
      </c>
    </row>
    <row r="4" spans="1:12" ht="45" x14ac:dyDescent="0.25">
      <c r="A4" s="2" t="s">
        <v>26</v>
      </c>
      <c r="B4" s="2" t="s">
        <v>13</v>
      </c>
      <c r="C4" s="2" t="s">
        <v>14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31</v>
      </c>
      <c r="J4" s="2" t="s">
        <v>214</v>
      </c>
      <c r="K4" s="2" t="s">
        <v>215</v>
      </c>
      <c r="L4" s="2"/>
    </row>
    <row r="5" spans="1:12" ht="30" x14ac:dyDescent="0.25">
      <c r="A5" s="3" t="s">
        <v>32</v>
      </c>
      <c r="B5" s="3" t="s">
        <v>13</v>
      </c>
      <c r="C5" s="3" t="s">
        <v>14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218</v>
      </c>
      <c r="J5" s="3" t="s">
        <v>214</v>
      </c>
      <c r="K5" s="3" t="s">
        <v>215</v>
      </c>
      <c r="L5" s="3"/>
    </row>
    <row r="6" spans="1:12" ht="30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45</v>
      </c>
      <c r="J6" s="2" t="s">
        <v>214</v>
      </c>
      <c r="K6" s="2" t="s">
        <v>215</v>
      </c>
      <c r="L6" s="2"/>
    </row>
    <row r="7" spans="1:12" ht="45" x14ac:dyDescent="0.25">
      <c r="A7" s="3" t="s">
        <v>46</v>
      </c>
      <c r="B7" s="3" t="s">
        <v>39</v>
      </c>
      <c r="C7" s="3" t="s">
        <v>40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51</v>
      </c>
      <c r="J7" s="3" t="s">
        <v>214</v>
      </c>
      <c r="K7" s="3" t="s">
        <v>219</v>
      </c>
      <c r="L7" s="3"/>
    </row>
    <row r="8" spans="1:12" ht="45" x14ac:dyDescent="0.25">
      <c r="A8" s="2" t="s">
        <v>52</v>
      </c>
      <c r="B8" s="2" t="s">
        <v>39</v>
      </c>
      <c r="C8" s="2" t="s">
        <v>40</v>
      </c>
      <c r="D8" s="2" t="s">
        <v>53</v>
      </c>
      <c r="E8" s="2" t="s">
        <v>54</v>
      </c>
      <c r="F8" s="2" t="s">
        <v>49</v>
      </c>
      <c r="G8" s="2" t="s">
        <v>55</v>
      </c>
      <c r="H8" s="2" t="s">
        <v>56</v>
      </c>
      <c r="I8" s="2" t="s">
        <v>56</v>
      </c>
      <c r="J8" s="2" t="s">
        <v>214</v>
      </c>
      <c r="K8" s="2" t="s">
        <v>219</v>
      </c>
      <c r="L8" s="2"/>
    </row>
    <row r="9" spans="1:12" ht="45" x14ac:dyDescent="0.25">
      <c r="A9" s="3" t="s">
        <v>57</v>
      </c>
      <c r="B9" s="3" t="s">
        <v>39</v>
      </c>
      <c r="C9" s="3" t="s">
        <v>40</v>
      </c>
      <c r="D9" s="3" t="s">
        <v>58</v>
      </c>
      <c r="E9" s="3" t="s">
        <v>59</v>
      </c>
      <c r="F9" s="3" t="s">
        <v>49</v>
      </c>
      <c r="G9" s="3" t="s">
        <v>60</v>
      </c>
      <c r="H9" s="3" t="s">
        <v>61</v>
      </c>
      <c r="I9" s="3" t="s">
        <v>61</v>
      </c>
      <c r="J9" s="2" t="s">
        <v>214</v>
      </c>
      <c r="K9" s="2" t="s">
        <v>219</v>
      </c>
      <c r="L9" s="3"/>
    </row>
    <row r="10" spans="1:12" ht="45" x14ac:dyDescent="0.25">
      <c r="A10" s="2" t="s">
        <v>62</v>
      </c>
      <c r="B10" s="2" t="s">
        <v>39</v>
      </c>
      <c r="C10" s="2" t="s">
        <v>40</v>
      </c>
      <c r="D10" s="2" t="s">
        <v>63</v>
      </c>
      <c r="E10" s="2" t="s">
        <v>64</v>
      </c>
      <c r="F10" s="2" t="s">
        <v>49</v>
      </c>
      <c r="G10" s="2" t="s">
        <v>65</v>
      </c>
      <c r="H10" s="2" t="s">
        <v>66</v>
      </c>
      <c r="I10" s="2" t="s">
        <v>66</v>
      </c>
      <c r="J10" s="2" t="s">
        <v>214</v>
      </c>
      <c r="K10" s="2" t="s">
        <v>219</v>
      </c>
      <c r="L10" s="2"/>
    </row>
    <row r="11" spans="1:12" ht="30" x14ac:dyDescent="0.25">
      <c r="A11" s="3" t="s">
        <v>67</v>
      </c>
      <c r="B11" s="3" t="s">
        <v>68</v>
      </c>
      <c r="C11" s="3" t="s">
        <v>40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73</v>
      </c>
      <c r="J11" s="2" t="s">
        <v>214</v>
      </c>
      <c r="K11" s="2" t="s">
        <v>219</v>
      </c>
      <c r="L11" s="3"/>
    </row>
    <row r="12" spans="1:12" ht="30" x14ac:dyDescent="0.25">
      <c r="A12" s="2" t="s">
        <v>74</v>
      </c>
      <c r="B12" s="2" t="s">
        <v>68</v>
      </c>
      <c r="C12" s="2" t="s">
        <v>40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79</v>
      </c>
      <c r="J12" s="2" t="s">
        <v>214</v>
      </c>
      <c r="K12" s="2" t="s">
        <v>219</v>
      </c>
      <c r="L12" s="2"/>
    </row>
    <row r="13" spans="1:12" ht="30" x14ac:dyDescent="0.25">
      <c r="A13" s="3" t="s">
        <v>80</v>
      </c>
      <c r="B13" s="3" t="s">
        <v>68</v>
      </c>
      <c r="C13" s="3" t="s">
        <v>40</v>
      </c>
      <c r="D13" s="3" t="s">
        <v>81</v>
      </c>
      <c r="E13" s="3" t="s">
        <v>82</v>
      </c>
      <c r="F13" s="3" t="s">
        <v>77</v>
      </c>
      <c r="G13" s="3" t="s">
        <v>83</v>
      </c>
      <c r="H13" s="3" t="s">
        <v>84</v>
      </c>
      <c r="I13" s="3" t="s">
        <v>84</v>
      </c>
      <c r="J13" s="2" t="s">
        <v>214</v>
      </c>
      <c r="K13" s="2" t="s">
        <v>219</v>
      </c>
      <c r="L13" s="3"/>
    </row>
    <row r="14" spans="1:12" ht="75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220</v>
      </c>
      <c r="J14" s="2" t="s">
        <v>221</v>
      </c>
      <c r="K14" s="2"/>
      <c r="L14" s="2"/>
    </row>
    <row r="15" spans="1:12" ht="30" x14ac:dyDescent="0.25">
      <c r="A15" s="3" t="s">
        <v>93</v>
      </c>
      <c r="B15" s="3" t="s">
        <v>86</v>
      </c>
      <c r="C15" s="3" t="s">
        <v>87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98</v>
      </c>
      <c r="I15" s="3"/>
      <c r="J15" s="3"/>
      <c r="K15" s="3"/>
      <c r="L15" s="3"/>
    </row>
    <row r="16" spans="1:12" ht="30" x14ac:dyDescent="0.25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  <c r="I16" s="2"/>
      <c r="J16" s="2"/>
      <c r="K16" s="2"/>
      <c r="L16" s="2"/>
    </row>
    <row r="17" spans="1:12" ht="30" x14ac:dyDescent="0.25">
      <c r="A17" s="3" t="s">
        <v>107</v>
      </c>
      <c r="B17" s="3" t="s">
        <v>100</v>
      </c>
      <c r="C17" s="3" t="s">
        <v>101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112</v>
      </c>
      <c r="I17" s="3"/>
      <c r="J17" s="3"/>
      <c r="K17" s="3"/>
      <c r="L17" s="3"/>
    </row>
    <row r="18" spans="1:12" ht="30" x14ac:dyDescent="0.25">
      <c r="A18" s="2" t="s">
        <v>113</v>
      </c>
      <c r="B18" s="2" t="s">
        <v>13</v>
      </c>
      <c r="C18" s="2" t="s">
        <v>114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119</v>
      </c>
      <c r="J18" s="2" t="s">
        <v>214</v>
      </c>
      <c r="K18" s="2" t="s">
        <v>219</v>
      </c>
      <c r="L18" s="2"/>
    </row>
    <row r="19" spans="1:12" ht="30" x14ac:dyDescent="0.25">
      <c r="A19" s="3" t="s">
        <v>120</v>
      </c>
      <c r="B19" s="3" t="s">
        <v>13</v>
      </c>
      <c r="C19" s="3" t="s">
        <v>114</v>
      </c>
      <c r="D19" s="3" t="s">
        <v>121</v>
      </c>
      <c r="E19" s="3" t="s">
        <v>122</v>
      </c>
      <c r="F19" s="3" t="s">
        <v>123</v>
      </c>
      <c r="G19" s="3" t="s">
        <v>124</v>
      </c>
      <c r="H19" s="3" t="s">
        <v>125</v>
      </c>
      <c r="I19" s="3" t="s">
        <v>125</v>
      </c>
      <c r="J19" s="2" t="s">
        <v>214</v>
      </c>
      <c r="K19" s="2" t="s">
        <v>219</v>
      </c>
      <c r="L19" s="3"/>
    </row>
    <row r="20" spans="1:12" ht="45" x14ac:dyDescent="0.25">
      <c r="A20" s="2" t="s">
        <v>126</v>
      </c>
      <c r="B20" s="2" t="s">
        <v>13</v>
      </c>
      <c r="C20" s="2" t="s">
        <v>114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131</v>
      </c>
      <c r="I20" s="2" t="s">
        <v>131</v>
      </c>
      <c r="J20" s="2" t="s">
        <v>214</v>
      </c>
      <c r="K20" s="2" t="s">
        <v>219</v>
      </c>
      <c r="L20" s="2"/>
    </row>
    <row r="21" spans="1:12" ht="45" x14ac:dyDescent="0.25">
      <c r="A21" s="3" t="s">
        <v>132</v>
      </c>
      <c r="B21" s="3" t="s">
        <v>13</v>
      </c>
      <c r="C21" s="3" t="s">
        <v>114</v>
      </c>
      <c r="D21" s="3" t="s">
        <v>133</v>
      </c>
      <c r="E21" s="3" t="s">
        <v>134</v>
      </c>
      <c r="F21" s="3" t="s">
        <v>135</v>
      </c>
      <c r="G21" s="3" t="s">
        <v>136</v>
      </c>
      <c r="H21" s="3" t="s">
        <v>137</v>
      </c>
      <c r="I21" s="3" t="s">
        <v>137</v>
      </c>
      <c r="J21" s="2" t="s">
        <v>214</v>
      </c>
      <c r="K21" s="2" t="s">
        <v>219</v>
      </c>
      <c r="L21" s="3"/>
    </row>
    <row r="22" spans="1:12" ht="60" x14ac:dyDescent="0.25">
      <c r="A22" s="2" t="s">
        <v>138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143</v>
      </c>
      <c r="G22" s="2" t="s">
        <v>144</v>
      </c>
      <c r="H22" s="2" t="s">
        <v>145</v>
      </c>
      <c r="I22" s="2" t="s">
        <v>145</v>
      </c>
      <c r="J22" s="2" t="s">
        <v>214</v>
      </c>
      <c r="K22" s="2" t="s">
        <v>219</v>
      </c>
      <c r="L22" s="2"/>
    </row>
    <row r="23" spans="1:12" ht="45" x14ac:dyDescent="0.25">
      <c r="A23" s="3" t="s">
        <v>146</v>
      </c>
      <c r="B23" s="3" t="s">
        <v>139</v>
      </c>
      <c r="C23" s="3" t="s">
        <v>140</v>
      </c>
      <c r="D23" s="3" t="s">
        <v>147</v>
      </c>
      <c r="E23" s="3" t="s">
        <v>148</v>
      </c>
      <c r="F23" s="3" t="s">
        <v>149</v>
      </c>
      <c r="G23" s="3" t="s">
        <v>150</v>
      </c>
      <c r="H23" s="3" t="s">
        <v>151</v>
      </c>
      <c r="I23" s="3" t="s">
        <v>151</v>
      </c>
      <c r="J23" s="2" t="s">
        <v>214</v>
      </c>
      <c r="K23" s="2" t="s">
        <v>219</v>
      </c>
      <c r="L23" s="3"/>
    </row>
    <row r="24" spans="1:12" ht="60" x14ac:dyDescent="0.25">
      <c r="A24" s="2" t="s">
        <v>152</v>
      </c>
      <c r="B24" s="2" t="s">
        <v>139</v>
      </c>
      <c r="C24" s="2" t="s">
        <v>140</v>
      </c>
      <c r="D24" s="2" t="s">
        <v>153</v>
      </c>
      <c r="E24" s="2" t="s">
        <v>154</v>
      </c>
      <c r="F24" s="2" t="s">
        <v>155</v>
      </c>
      <c r="G24" s="2" t="s">
        <v>156</v>
      </c>
      <c r="H24" s="2" t="s">
        <v>157</v>
      </c>
      <c r="I24" s="2" t="s">
        <v>157</v>
      </c>
      <c r="J24" s="2" t="s">
        <v>214</v>
      </c>
      <c r="K24" s="2" t="s">
        <v>219</v>
      </c>
      <c r="L24" s="2"/>
    </row>
    <row r="25" spans="1:12" ht="45" x14ac:dyDescent="0.25">
      <c r="A25" s="3" t="s">
        <v>158</v>
      </c>
      <c r="B25" s="3" t="s">
        <v>159</v>
      </c>
      <c r="C25" s="3" t="s">
        <v>160</v>
      </c>
      <c r="D25" s="3" t="s">
        <v>161</v>
      </c>
      <c r="E25" s="3" t="s">
        <v>162</v>
      </c>
      <c r="F25" s="3" t="s">
        <v>155</v>
      </c>
      <c r="G25" s="3" t="s">
        <v>163</v>
      </c>
      <c r="H25" s="3" t="s">
        <v>164</v>
      </c>
      <c r="I25" s="3" t="s">
        <v>164</v>
      </c>
      <c r="J25" s="2" t="s">
        <v>214</v>
      </c>
      <c r="K25" s="2" t="s">
        <v>219</v>
      </c>
      <c r="L25" s="3"/>
    </row>
    <row r="26" spans="1:12" ht="30" x14ac:dyDescent="0.25">
      <c r="A26" s="2" t="s">
        <v>165</v>
      </c>
      <c r="B26" s="2" t="s">
        <v>166</v>
      </c>
      <c r="C26" s="2" t="s">
        <v>160</v>
      </c>
      <c r="D26" s="2" t="s">
        <v>167</v>
      </c>
      <c r="E26" s="2" t="s">
        <v>168</v>
      </c>
      <c r="F26" s="2" t="s">
        <v>129</v>
      </c>
      <c r="G26" s="2" t="s">
        <v>169</v>
      </c>
      <c r="H26" s="2" t="s">
        <v>170</v>
      </c>
      <c r="I26" s="2" t="s">
        <v>170</v>
      </c>
      <c r="J26" s="2" t="s">
        <v>214</v>
      </c>
      <c r="K26" s="2" t="s">
        <v>219</v>
      </c>
      <c r="L26" s="2"/>
    </row>
    <row r="27" spans="1:12" ht="45" x14ac:dyDescent="0.25">
      <c r="A27" s="3" t="s">
        <v>171</v>
      </c>
      <c r="B27" s="3" t="s">
        <v>166</v>
      </c>
      <c r="C27" s="3" t="s">
        <v>160</v>
      </c>
      <c r="D27" s="3" t="s">
        <v>172</v>
      </c>
      <c r="E27" s="3" t="s">
        <v>173</v>
      </c>
      <c r="F27" s="3" t="s">
        <v>174</v>
      </c>
      <c r="G27" s="3" t="s">
        <v>175</v>
      </c>
      <c r="H27" s="3" t="s">
        <v>176</v>
      </c>
      <c r="I27" s="3" t="s">
        <v>176</v>
      </c>
      <c r="J27" s="2" t="s">
        <v>214</v>
      </c>
      <c r="K27" s="2" t="s">
        <v>219</v>
      </c>
      <c r="L27" s="3"/>
    </row>
    <row r="28" spans="1:12" ht="30" x14ac:dyDescent="0.25">
      <c r="A28" s="2" t="s">
        <v>177</v>
      </c>
      <c r="B28" s="2" t="s">
        <v>178</v>
      </c>
      <c r="C28" s="2" t="s">
        <v>179</v>
      </c>
      <c r="D28" s="2" t="s">
        <v>180</v>
      </c>
      <c r="E28" s="2" t="s">
        <v>181</v>
      </c>
      <c r="F28" s="2" t="s">
        <v>182</v>
      </c>
      <c r="G28" s="2" t="s">
        <v>183</v>
      </c>
      <c r="H28" s="2" t="s">
        <v>184</v>
      </c>
      <c r="I28" s="2" t="s">
        <v>184</v>
      </c>
      <c r="J28" s="2" t="s">
        <v>214</v>
      </c>
      <c r="K28" s="2" t="s">
        <v>219</v>
      </c>
      <c r="L28" s="2"/>
    </row>
    <row r="29" spans="1:12" ht="30" x14ac:dyDescent="0.25">
      <c r="A29" s="3" t="s">
        <v>185</v>
      </c>
      <c r="B29" s="3" t="s">
        <v>178</v>
      </c>
      <c r="C29" s="3" t="s">
        <v>186</v>
      </c>
      <c r="D29" s="3" t="s">
        <v>187</v>
      </c>
      <c r="E29" s="3" t="s">
        <v>188</v>
      </c>
      <c r="F29" s="3" t="s">
        <v>189</v>
      </c>
      <c r="G29" s="3" t="s">
        <v>190</v>
      </c>
      <c r="H29" s="3" t="s">
        <v>191</v>
      </c>
      <c r="I29" s="3" t="s">
        <v>191</v>
      </c>
      <c r="J29" s="2" t="s">
        <v>214</v>
      </c>
      <c r="K29" s="2" t="s">
        <v>219</v>
      </c>
      <c r="L29" s="3"/>
    </row>
    <row r="30" spans="1:12" ht="30" x14ac:dyDescent="0.25">
      <c r="A30" s="2" t="s">
        <v>192</v>
      </c>
      <c r="B30" s="2" t="s">
        <v>178</v>
      </c>
      <c r="C30" s="2" t="s">
        <v>186</v>
      </c>
      <c r="D30" s="2" t="s">
        <v>193</v>
      </c>
      <c r="E30" s="2" t="s">
        <v>194</v>
      </c>
      <c r="F30" s="2" t="s">
        <v>195</v>
      </c>
      <c r="G30" s="2" t="s">
        <v>196</v>
      </c>
      <c r="H30" s="2" t="s">
        <v>197</v>
      </c>
      <c r="I30" s="2" t="s">
        <v>197</v>
      </c>
      <c r="J30" s="2" t="s">
        <v>214</v>
      </c>
      <c r="K30" s="2" t="s">
        <v>219</v>
      </c>
      <c r="L30" s="2"/>
    </row>
  </sheetData>
  <autoFilter ref="A1:L30" xr:uid="{00000000-0009-0000-0000-000000000000}"/>
  <conditionalFormatting sqref="J2:J30">
    <cfRule type="expression" dxfId="2" priority="1" stopIfTrue="1">
      <formula>J2="OK"</formula>
    </cfRule>
    <cfRule type="expression" dxfId="1" priority="2" stopIfTrue="1">
      <formula>J2="FALLA"</formula>
    </cfRule>
    <cfRule type="expression" dxfId="0" priority="3" stopIfTrue="1">
      <formula>J2="OBS"</formula>
    </cfRule>
  </conditionalFormatting>
  <dataValidations count="2">
    <dataValidation type="list" allowBlank="1" sqref="J2:J30" xr:uid="{00000000-0002-0000-0000-000000000000}">
      <formula1>"OK,FALLA,OBS"</formula1>
    </dataValidation>
    <dataValidation type="list" allowBlank="1" sqref="K2:K30" xr:uid="{00000000-0002-0000-0000-000001000000}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5" x14ac:dyDescent="0.25"/>
  <cols>
    <col min="1" max="1" width="24" customWidth="1"/>
    <col min="2" max="2" width="14" customWidth="1"/>
  </cols>
  <sheetData>
    <row r="1" spans="1:2" x14ac:dyDescent="0.25">
      <c r="A1" s="4" t="s">
        <v>198</v>
      </c>
      <c r="B1" s="4" t="s">
        <v>199</v>
      </c>
    </row>
    <row r="2" spans="1:2" x14ac:dyDescent="0.25">
      <c r="A2" s="5" t="s">
        <v>200</v>
      </c>
      <c r="B2" s="6">
        <f>COUNTA('Matriz Testing'!A2:A30)</f>
        <v>29</v>
      </c>
    </row>
    <row r="3" spans="1:2" x14ac:dyDescent="0.25">
      <c r="A3" s="5" t="s">
        <v>201</v>
      </c>
      <c r="B3" s="6">
        <f>COUNTIF('Matriz Testing'!J2:J30,"OK")</f>
        <v>25</v>
      </c>
    </row>
    <row r="4" spans="1:2" x14ac:dyDescent="0.25">
      <c r="A4" s="5" t="s">
        <v>202</v>
      </c>
      <c r="B4" s="6">
        <f>COUNTIF('Matriz Testing'!J2:J30,"FALLA")</f>
        <v>1</v>
      </c>
    </row>
    <row r="5" spans="1:2" x14ac:dyDescent="0.25">
      <c r="A5" s="5" t="s">
        <v>203</v>
      </c>
      <c r="B5" s="6">
        <f>COUNTIF('Matriz Testing'!J2:J30,"OBS")</f>
        <v>0</v>
      </c>
    </row>
    <row r="6" spans="1:2" x14ac:dyDescent="0.25">
      <c r="A6" s="5" t="s">
        <v>204</v>
      </c>
      <c r="B6" s="7">
        <f>IF(B2=0,0,(B3+B4+B5)/B2)</f>
        <v>0.89655172413793105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selection sqref="A1:D1"/>
    </sheetView>
  </sheetViews>
  <sheetFormatPr defaultRowHeight="15" x14ac:dyDescent="0.25"/>
  <cols>
    <col min="1" max="1" width="18" customWidth="1"/>
    <col min="2" max="2" width="90" customWidth="1"/>
  </cols>
  <sheetData>
    <row r="1" spans="1:4" ht="18.75" x14ac:dyDescent="0.3">
      <c r="A1" s="9" t="s">
        <v>205</v>
      </c>
      <c r="B1" s="10"/>
      <c r="C1" s="10"/>
      <c r="D1" s="10"/>
    </row>
    <row r="3" spans="1:4" x14ac:dyDescent="0.25">
      <c r="A3" s="8" t="s">
        <v>206</v>
      </c>
      <c r="B3" s="6" t="s">
        <v>207</v>
      </c>
    </row>
    <row r="4" spans="1:4" x14ac:dyDescent="0.25">
      <c r="A4" s="8" t="s">
        <v>9</v>
      </c>
      <c r="B4" s="6" t="s">
        <v>208</v>
      </c>
    </row>
    <row r="5" spans="1:4" x14ac:dyDescent="0.25">
      <c r="A5" s="8" t="s">
        <v>10</v>
      </c>
      <c r="B5" s="6" t="s">
        <v>209</v>
      </c>
    </row>
    <row r="6" spans="1:4" x14ac:dyDescent="0.25">
      <c r="A6" s="8" t="s">
        <v>8</v>
      </c>
      <c r="B6" s="6" t="s">
        <v>210</v>
      </c>
    </row>
    <row r="7" spans="1:4" x14ac:dyDescent="0.25">
      <c r="A7" s="8" t="s">
        <v>11</v>
      </c>
      <c r="B7" s="6" t="s">
        <v>211</v>
      </c>
    </row>
    <row r="8" spans="1:4" x14ac:dyDescent="0.25">
      <c r="A8" s="8" t="s">
        <v>212</v>
      </c>
      <c r="B8" s="6" t="s">
        <v>213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 Testing</vt:lpstr>
      <vt:lpstr>Resumen</vt:lpstr>
      <vt:lpstr>Guia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Acevedo</cp:lastModifiedBy>
  <dcterms:created xsi:type="dcterms:W3CDTF">2026-04-04T18:39:16Z</dcterms:created>
  <dcterms:modified xsi:type="dcterms:W3CDTF">2026-04-04T19:09:52Z</dcterms:modified>
</cp:coreProperties>
</file>